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8"/>
  </bookViews>
  <sheets>
    <sheet name="Dashboard" sheetId="1" r:id="rId1"/>
    <sheet name="Purchases" sheetId="2" r:id="rId2"/>
    <sheet name="Suppliers" sheetId="3" r:id="rId3"/>
    <sheet name="Settings" sheetId="4" r:id="rId4"/>
    <sheet name="slicer" sheetId="5" r:id="rId5"/>
  </sheets>
  <definedNames>
    <definedName name="NativeTimeline_Date">#N/A</definedName>
    <definedName name="Slicer_Category">#N/A</definedName>
  </definedNames>
  <calcPr calcId="162913"/>
  <pivotCaches>
    <pivotCache cacheId="0" r:id="rId6"/>
  </pivotCaches>
  <fileRecoveryPr repairLoad="1"/>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2" i="2" l="1"/>
  <c r="G3" i="2"/>
  <c r="E5" i="1" s="1"/>
  <c r="G4" i="2"/>
  <c r="C5" i="1"/>
  <c r="B5" i="1" l="1"/>
  <c r="D5" i="1"/>
</calcChain>
</file>

<file path=xl/sharedStrings.xml><?xml version="1.0" encoding="utf-8"?>
<sst xmlns="http://schemas.openxmlformats.org/spreadsheetml/2006/main" count="27" uniqueCount="24">
  <si>
    <t>Date</t>
  </si>
  <si>
    <t>Item</t>
  </si>
  <si>
    <t>Category</t>
  </si>
  <si>
    <t>Unit</t>
  </si>
  <si>
    <t>Qty</t>
  </si>
  <si>
    <t>Unit Price</t>
  </si>
  <si>
    <t>Supplier</t>
  </si>
  <si>
    <t>Project</t>
  </si>
  <si>
    <t>PPR Pipe 20mm</t>
  </si>
  <si>
    <t>Pipes</t>
  </si>
  <si>
    <t>m</t>
  </si>
  <si>
    <t>Elbow 20mm</t>
  </si>
  <si>
    <t>Fittings</t>
  </si>
  <si>
    <t>pcs</t>
  </si>
  <si>
    <t>Ball Valve</t>
  </si>
  <si>
    <t>Valves</t>
  </si>
  <si>
    <t>Total Cost</t>
  </si>
  <si>
    <t>Construction Cost Tracker</t>
  </si>
  <si>
    <t>Number of Purchases</t>
  </si>
  <si>
    <t>Average Purchase</t>
  </si>
  <si>
    <t>Highest Purchase</t>
  </si>
  <si>
    <t>Row Labels</t>
  </si>
  <si>
    <t>Grand Total</t>
  </si>
  <si>
    <t>Sum of Total 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</si>
</sst>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 &quot;EGP&quot;"/>
  </numFmts>
  <fonts count="4" x14ac:knownFonts="1">
    <font>
      <sz val="11"/>
      <color theme="1"/>
      <name val="Calibri"/>
      <family val="2"/>
      <scheme val="minor"/>
    </font>
    <font>
      <b/>
      <sz val="14"/>
      <color theme="1"/>
      <name val="Calibri"/>
      <family val="2"/>
      <scheme val="minor"/>
    </font>
    <font>
      <sz val="14"/>
      <color theme="1"/>
      <name val="Calibri"/>
      <family val="2"/>
      <scheme val="minor"/>
    </font>
    <font>
      <b/>
      <sz val="20"/>
      <color theme="1"/>
      <name val="Calibri"/>
      <family val="2"/>
      <scheme val="minor"/>
    </font>
  </fonts>
  <fills count="6">
    <fill>
      <patternFill patternType="none"/>
    </fill>
    <fill>
      <patternFill patternType="gray125"/>
    </fill>
    <fill>
      <patternFill patternType="solid">
        <fgColor theme="9" tint="0.39997558519241921"/>
        <bgColor indexed="64"/>
      </patternFill>
    </fill>
    <fill>
      <patternFill patternType="solid">
        <fgColor theme="4"/>
        <bgColor indexed="64"/>
      </patternFill>
    </fill>
    <fill>
      <patternFill patternType="solid">
        <fgColor rgb="FFFF3300"/>
        <bgColor indexed="64"/>
      </patternFill>
    </fill>
    <fill>
      <patternFill patternType="solid">
        <fgColor theme="0" tint="-0.34998626667073579"/>
        <bgColor indexed="64"/>
      </patternFill>
    </fill>
  </fills>
  <borders count="7">
    <border>
      <left/>
      <right/>
      <top/>
      <bottom/>
      <diagonal/>
    </border>
    <border>
      <left style="thick">
        <color indexed="64"/>
      </left>
      <right style="thick">
        <color indexed="64"/>
      </right>
      <top style="thick">
        <color indexed="64"/>
      </top>
      <bottom style="thick">
        <color indexed="64"/>
      </bottom>
      <diagonal/>
    </border>
    <border>
      <left/>
      <right style="thick">
        <color indexed="64"/>
      </right>
      <top/>
      <bottom style="thick">
        <color indexed="64"/>
      </bottom>
      <diagonal/>
    </border>
    <border>
      <left style="thick">
        <color indexed="64"/>
      </left>
      <right style="thick">
        <color indexed="64"/>
      </right>
      <top/>
      <bottom style="thick">
        <color indexed="64"/>
      </bottom>
      <diagonal/>
    </border>
    <border>
      <left style="thick">
        <color indexed="64"/>
      </left>
      <right/>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64"/>
      </top>
      <bottom style="thick">
        <color indexed="64"/>
      </bottom>
      <diagonal/>
    </border>
  </borders>
  <cellStyleXfs count="1">
    <xf numFmtId="0" fontId="0" fillId="0" borderId="0"/>
  </cellStyleXfs>
  <cellXfs count="19">
    <xf numFmtId="0" fontId="0" fillId="0" borderId="0" xfId="0"/>
    <xf numFmtId="0" fontId="2" fillId="0" borderId="0" xfId="0" applyFont="1" applyAlignment="1">
      <alignment horizontal="center" vertical="center"/>
    </xf>
    <xf numFmtId="0" fontId="2" fillId="0" borderId="1" xfId="0" applyFont="1" applyBorder="1" applyAlignment="1">
      <alignment horizontal="center" vertical="center"/>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14" fontId="2" fillId="0" borderId="5" xfId="0" applyNumberFormat="1" applyFont="1" applyBorder="1" applyAlignment="1">
      <alignment horizontal="center" vertical="center" wrapText="1"/>
    </xf>
    <xf numFmtId="0" fontId="2" fillId="0" borderId="1" xfId="0" applyFont="1" applyBorder="1" applyAlignment="1">
      <alignment horizontal="center" vertical="center" wrapText="1"/>
    </xf>
    <xf numFmtId="0" fontId="2" fillId="0" borderId="6" xfId="0" applyFont="1" applyBorder="1" applyAlignment="1">
      <alignment horizontal="center" vertical="center"/>
    </xf>
    <xf numFmtId="0" fontId="0" fillId="0" borderId="1" xfId="0" applyFont="1" applyBorder="1"/>
    <xf numFmtId="164" fontId="2" fillId="0" borderId="1" xfId="0" applyNumberFormat="1" applyFont="1" applyBorder="1" applyAlignment="1">
      <alignment horizontal="center" vertical="center"/>
    </xf>
    <xf numFmtId="0" fontId="0" fillId="0" borderId="0" xfId="0" pivotButton="1"/>
    <xf numFmtId="0" fontId="0" fillId="0" borderId="0" xfId="0" applyNumberFormat="1"/>
    <xf numFmtId="0" fontId="1" fillId="2" borderId="1" xfId="0" applyFont="1" applyFill="1" applyBorder="1" applyAlignment="1">
      <alignment horizontal="center" vertical="center"/>
    </xf>
    <xf numFmtId="0" fontId="1" fillId="4" borderId="1" xfId="0" applyFont="1" applyFill="1" applyBorder="1"/>
    <xf numFmtId="0" fontId="1" fillId="3" borderId="1" xfId="0" applyFont="1" applyFill="1" applyBorder="1" applyAlignment="1">
      <alignment horizontal="center" vertical="center"/>
    </xf>
    <xf numFmtId="0" fontId="1" fillId="5" borderId="1" xfId="0" applyFont="1" applyFill="1" applyBorder="1" applyAlignment="1">
      <alignment horizontal="center" vertical="center"/>
    </xf>
    <xf numFmtId="0" fontId="0" fillId="0" borderId="0" xfId="0" applyAlignment="1">
      <alignment horizontal="left"/>
    </xf>
    <xf numFmtId="0" fontId="3" fillId="0" borderId="0" xfId="0" applyFont="1" applyAlignment="1">
      <alignment horizontal="center" vertical="center"/>
    </xf>
  </cellXfs>
  <cellStyles count="1">
    <cellStyle name="Normal" xfId="0" builtinId="0"/>
  </cellStyles>
  <dxfs count="14">
    <dxf>
      <font>
        <strike val="0"/>
        <outline val="0"/>
        <shadow val="0"/>
        <u val="none"/>
        <vertAlign val="baseline"/>
        <sz val="14"/>
        <color theme="1"/>
        <name val="Calibri"/>
        <scheme val="minor"/>
      </font>
      <alignment horizontal="center" vertical="center" textRotation="0" indent="0" justifyLastLine="0" shrinkToFit="0" readingOrder="0"/>
      <border diagonalUp="0" diagonalDown="0">
        <left style="thick">
          <color indexed="64"/>
        </left>
        <right/>
        <top style="thick">
          <color indexed="64"/>
        </top>
        <bottom style="thick">
          <color indexed="64"/>
        </bottom>
        <vertical style="thick">
          <color indexed="64"/>
        </vertical>
        <horizontal style="thick">
          <color indexed="64"/>
        </horizontal>
      </border>
    </dxf>
    <dxf>
      <font>
        <strike val="0"/>
        <outline val="0"/>
        <shadow val="0"/>
        <u val="none"/>
        <vertAlign val="baseline"/>
        <sz val="14"/>
        <color theme="1"/>
        <name val="Calibri"/>
        <scheme val="minor"/>
      </font>
      <alignment horizontal="center" vertical="center" textRotation="0" indent="0" justifyLastLine="0" shrinkToFit="0" readingOrder="0"/>
      <border diagonalUp="0" diagonalDown="0">
        <left style="thick">
          <color indexed="64"/>
        </left>
        <right style="thick">
          <color indexed="64"/>
        </right>
        <top style="thick">
          <color indexed="64"/>
        </top>
        <bottom style="thick">
          <color indexed="64"/>
        </bottom>
        <vertical style="thick">
          <color indexed="64"/>
        </vertical>
        <horizontal style="thick">
          <color indexed="64"/>
        </horizontal>
      </border>
    </dxf>
    <dxf>
      <font>
        <strike val="0"/>
        <outline val="0"/>
        <shadow val="0"/>
        <u val="none"/>
        <vertAlign val="baseline"/>
        <sz val="14"/>
        <color theme="1"/>
        <name val="Calibri"/>
        <scheme val="minor"/>
      </font>
      <numFmt numFmtId="0" formatCode="General"/>
      <alignment horizontal="center" vertical="center" textRotation="0" indent="0" justifyLastLine="0" shrinkToFit="0" readingOrder="0"/>
      <border diagonalUp="0" diagonalDown="0">
        <left style="thick">
          <color indexed="64"/>
        </left>
        <right style="thick">
          <color indexed="64"/>
        </right>
        <top style="thick">
          <color indexed="64"/>
        </top>
        <bottom style="thick">
          <color indexed="64"/>
        </bottom>
        <vertical style="thick">
          <color indexed="64"/>
        </vertical>
        <horizontal style="thick">
          <color indexed="64"/>
        </horizontal>
      </border>
    </dxf>
    <dxf>
      <font>
        <strike val="0"/>
        <outline val="0"/>
        <shadow val="0"/>
        <u val="none"/>
        <vertAlign val="baseline"/>
        <sz val="14"/>
        <color theme="1"/>
        <name val="Calibri"/>
        <scheme val="minor"/>
      </font>
      <alignment horizontal="center" vertical="center" textRotation="0" indent="0" justifyLastLine="0" shrinkToFit="0" readingOrder="0"/>
      <border diagonalUp="0" diagonalDown="0">
        <left style="thick">
          <color indexed="64"/>
        </left>
        <right style="thick">
          <color indexed="64"/>
        </right>
        <top style="thick">
          <color indexed="64"/>
        </top>
        <bottom style="thick">
          <color indexed="64"/>
        </bottom>
        <vertical style="thick">
          <color indexed="64"/>
        </vertical>
        <horizontal style="thick">
          <color indexed="64"/>
        </horizontal>
      </border>
    </dxf>
    <dxf>
      <font>
        <strike val="0"/>
        <outline val="0"/>
        <shadow val="0"/>
        <u val="none"/>
        <vertAlign val="baseline"/>
        <sz val="14"/>
        <color theme="1"/>
        <name val="Calibri"/>
        <scheme val="minor"/>
      </font>
      <alignment horizontal="center" vertical="center" textRotation="0" indent="0" justifyLastLine="0" shrinkToFit="0" readingOrder="0"/>
      <border diagonalUp="0" diagonalDown="0">
        <left style="thick">
          <color indexed="64"/>
        </left>
        <right style="thick">
          <color indexed="64"/>
        </right>
        <top style="thick">
          <color indexed="64"/>
        </top>
        <bottom style="thick">
          <color indexed="64"/>
        </bottom>
        <vertical style="thick">
          <color indexed="64"/>
        </vertical>
        <horizontal style="thick">
          <color indexed="64"/>
        </horizontal>
      </border>
    </dxf>
    <dxf>
      <font>
        <strike val="0"/>
        <outline val="0"/>
        <shadow val="0"/>
        <u val="none"/>
        <vertAlign val="baseline"/>
        <sz val="14"/>
        <color theme="1"/>
        <name val="Calibri"/>
        <scheme val="minor"/>
      </font>
      <alignment horizontal="center" vertical="center" textRotation="0" indent="0" justifyLastLine="0" shrinkToFit="0" readingOrder="0"/>
      <border diagonalUp="0" diagonalDown="0">
        <left style="thick">
          <color indexed="64"/>
        </left>
        <right style="thick">
          <color indexed="64"/>
        </right>
        <top style="thick">
          <color indexed="64"/>
        </top>
        <bottom style="thick">
          <color indexed="64"/>
        </bottom>
        <vertical style="thick">
          <color indexed="64"/>
        </vertical>
        <horizontal style="thick">
          <color indexed="64"/>
        </horizontal>
      </border>
    </dxf>
    <dxf>
      <font>
        <strike val="0"/>
        <outline val="0"/>
        <shadow val="0"/>
        <u val="none"/>
        <vertAlign val="baseline"/>
        <sz val="14"/>
        <color theme="1"/>
        <name val="Calibri"/>
        <scheme val="minor"/>
      </font>
      <alignment horizontal="center" vertical="center" textRotation="0" indent="0" justifyLastLine="0" shrinkToFit="0" readingOrder="0"/>
      <border diagonalUp="0" diagonalDown="0">
        <left style="thick">
          <color indexed="64"/>
        </left>
        <right style="thick">
          <color indexed="64"/>
        </right>
        <top style="thick">
          <color indexed="64"/>
        </top>
        <bottom style="thick">
          <color indexed="64"/>
        </bottom>
        <vertical style="thick">
          <color indexed="64"/>
        </vertical>
        <horizontal style="thick">
          <color indexed="64"/>
        </horizontal>
      </border>
    </dxf>
    <dxf>
      <font>
        <strike val="0"/>
        <outline val="0"/>
        <shadow val="0"/>
        <u val="none"/>
        <vertAlign val="baseline"/>
        <sz val="14"/>
        <color theme="1"/>
        <name val="Calibri"/>
        <scheme val="minor"/>
      </font>
      <alignment horizontal="center" vertical="center" textRotation="0" indent="0" justifyLastLine="0" shrinkToFit="0" readingOrder="0"/>
      <border diagonalUp="0" diagonalDown="0">
        <left style="thick">
          <color indexed="64"/>
        </left>
        <right style="thick">
          <color indexed="64"/>
        </right>
        <top style="thick">
          <color indexed="64"/>
        </top>
        <bottom style="thick">
          <color indexed="64"/>
        </bottom>
        <vertical style="thick">
          <color indexed="64"/>
        </vertical>
        <horizontal style="thick">
          <color indexed="64"/>
        </horizontal>
      </border>
    </dxf>
    <dxf>
      <font>
        <strike val="0"/>
        <outline val="0"/>
        <shadow val="0"/>
        <u val="none"/>
        <vertAlign val="baseline"/>
        <sz val="14"/>
        <color theme="1"/>
        <name val="Calibri"/>
        <scheme val="minor"/>
      </font>
      <alignment horizontal="center" vertical="center" textRotation="0" indent="0" justifyLastLine="0" shrinkToFit="0" readingOrder="0"/>
      <border diagonalUp="0" diagonalDown="0">
        <left/>
        <right style="thick">
          <color indexed="64"/>
        </right>
        <top style="thick">
          <color indexed="64"/>
        </top>
        <bottom style="thick">
          <color indexed="64"/>
        </bottom>
        <vertical style="thick">
          <color indexed="64"/>
        </vertical>
        <horizontal style="thick">
          <color indexed="64"/>
        </horizontal>
      </border>
    </dxf>
    <dxf>
      <border>
        <top style="thick">
          <color indexed="64"/>
        </top>
      </border>
    </dxf>
    <dxf>
      <border diagonalUp="0" diagonalDown="0">
        <left style="thick">
          <color indexed="64"/>
        </left>
        <right style="thick">
          <color indexed="64"/>
        </right>
        <top style="thick">
          <color indexed="64"/>
        </top>
        <bottom style="thick">
          <color indexed="64"/>
        </bottom>
      </border>
    </dxf>
    <dxf>
      <font>
        <strike val="0"/>
        <outline val="0"/>
        <shadow val="0"/>
        <u val="none"/>
        <vertAlign val="baseline"/>
        <sz val="14"/>
        <color theme="1"/>
        <name val="Calibri"/>
        <scheme val="minor"/>
      </font>
      <alignment horizontal="center" vertical="center" textRotation="0" indent="0" justifyLastLine="0" shrinkToFit="0" readingOrder="0"/>
    </dxf>
    <dxf>
      <border>
        <bottom style="thick">
          <color indexed="64"/>
        </bottom>
      </border>
    </dxf>
    <dxf>
      <font>
        <b/>
        <i val="0"/>
        <strike val="0"/>
        <condense val="0"/>
        <extend val="0"/>
        <outline val="0"/>
        <shadow val="0"/>
        <u val="none"/>
        <vertAlign val="baseline"/>
        <sz val="14"/>
        <color theme="1"/>
        <name val="Calibri"/>
        <scheme val="minor"/>
      </font>
      <alignment horizontal="center" vertical="center" textRotation="0" wrapText="1" indent="0" justifyLastLine="0" shrinkToFit="0" readingOrder="0"/>
      <border diagonalUp="0" diagonalDown="0">
        <left style="thick">
          <color indexed="64"/>
        </left>
        <right style="thick">
          <color indexed="64"/>
        </right>
        <top/>
        <bottom/>
        <vertical style="thick">
          <color indexed="64"/>
        </vertical>
        <horizontal style="thick">
          <color indexed="64"/>
        </horizontal>
      </border>
    </dxf>
  </dxfs>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[Construction_Cost_Tracker_v1.xlsx.xlsx]slicer!PivotTable1</c:name>
    <c:fmtId val="3"/>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Cost by Category</a:t>
            </a:r>
          </a:p>
        </c:rich>
      </c:tx>
      <c:layout>
        <c:manualLayout>
          <c:xMode val="edge"/>
          <c:yMode val="edge"/>
          <c:x val="0.35140109698677047"/>
          <c:y val="2.9315130572707192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pivotFmt>
      <c:pivotFmt>
        <c:idx val="1"/>
      </c:pivotFmt>
      <c:pivotFmt>
        <c:idx val="2"/>
      </c:pivotFmt>
      <c:pivotFmt>
        <c:idx val="3"/>
        <c:spPr>
          <a:solidFill>
            <a:schemeClr val="accent6"/>
          </a:solidFill>
          <a:ln>
            <a:noFill/>
          </a:ln>
          <a:effectLst/>
        </c:spPr>
        <c:marker>
          <c:symbol val="none"/>
        </c:marker>
      </c:pivotFmt>
    </c:pivotFmts>
    <c:plotArea>
      <c:layout>
        <c:manualLayout>
          <c:layoutTarget val="inner"/>
          <c:xMode val="edge"/>
          <c:yMode val="edge"/>
          <c:x val="1.9104359742642787E-3"/>
          <c:y val="2.0816784305728704E-2"/>
          <c:w val="0.93258359298008098"/>
          <c:h val="0.85349826698491948"/>
        </c:manualLayout>
      </c:layout>
      <c:barChart>
        <c:barDir val="col"/>
        <c:grouping val="clustered"/>
        <c:varyColors val="0"/>
        <c:ser>
          <c:idx val="0"/>
          <c:order val="0"/>
          <c:tx>
            <c:strRef>
              <c:f>slicer!$B$3</c:f>
              <c:strCache>
                <c:ptCount val="1"/>
                <c:pt idx="0">
                  <c:v>Total</c:v>
                </c:pt>
              </c:strCache>
            </c:strRef>
          </c:tx>
          <c:spPr>
            <a:solidFill>
              <a:schemeClr val="accent6"/>
            </a:solidFill>
            <a:ln>
              <a:noFill/>
            </a:ln>
            <a:effectLst/>
          </c:spPr>
          <c:invertIfNegative val="0"/>
          <c:cat>
            <c:strRef>
              <c:f>slicer!$A$4:$A$5</c:f>
              <c:strCache>
                <c:ptCount val="1"/>
                <c:pt idx="0">
                  <c:v>Valves</c:v>
                </c:pt>
              </c:strCache>
            </c:strRef>
          </c:cat>
          <c:val>
            <c:numRef>
              <c:f>slicer!$B$4:$B$5</c:f>
              <c:numCache>
                <c:formatCode>General</c:formatCode>
                <c:ptCount val="1"/>
                <c:pt idx="0">
                  <c:v>1800</c:v>
                </c:pt>
              </c:numCache>
            </c:numRef>
          </c:val>
          <c:extLst>
            <c:ext xmlns:c16="http://schemas.microsoft.com/office/drawing/2014/chart" uri="{C3380CC4-5D6E-409C-BE32-E72D297353CC}">
              <c16:uniqueId val="{00000000-809E-4EF5-8F23-D32C6CF84EB5}"/>
            </c:ext>
          </c:extLst>
        </c:ser>
        <c:dLbls>
          <c:showLegendKey val="0"/>
          <c:showVal val="0"/>
          <c:showCatName val="0"/>
          <c:showSerName val="0"/>
          <c:showPercent val="0"/>
          <c:showBubbleSize val="0"/>
        </c:dLbls>
        <c:gapWidth val="199"/>
        <c:axId val="1150172303"/>
        <c:axId val="1150171471"/>
      </c:barChart>
      <c:catAx>
        <c:axId val="1150172303"/>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150171471"/>
        <c:crosses val="autoZero"/>
        <c:auto val="1"/>
        <c:lblAlgn val="ctr"/>
        <c:lblOffset val="100"/>
        <c:noMultiLvlLbl val="0"/>
      </c:catAx>
      <c:valAx>
        <c:axId val="1150171471"/>
        <c:scaling>
          <c:orientation val="minMax"/>
        </c:scaling>
        <c:delete val="0"/>
        <c:axPos val="r"/>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17230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8466</xdr:colOff>
      <xdr:row>14</xdr:row>
      <xdr:rowOff>7620</xdr:rowOff>
    </xdr:from>
    <xdr:to>
      <xdr:col>5</xdr:col>
      <xdr:colOff>16086</xdr:colOff>
      <xdr:row>37</xdr:row>
      <xdr:rowOff>38946</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311573</xdr:colOff>
      <xdr:row>17</xdr:row>
      <xdr:rowOff>58420</xdr:rowOff>
    </xdr:from>
    <xdr:to>
      <xdr:col>8</xdr:col>
      <xdr:colOff>397933</xdr:colOff>
      <xdr:row>30</xdr:row>
      <xdr:rowOff>169333</xdr:rowOff>
    </xdr:to>
    <mc:AlternateContent xmlns:mc="http://schemas.openxmlformats.org/markup-compatibility/2006" xmlns:a14="http://schemas.microsoft.com/office/drawing/2010/main">
      <mc:Choice Requires="a14">
        <xdr:graphicFrame macro="">
          <xdr:nvGraphicFramePr>
            <xdr:cNvPr id="4"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584440" y="3478953"/>
              <a:ext cx="1915160" cy="25323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6</xdr:row>
      <xdr:rowOff>13546</xdr:rowOff>
    </xdr:from>
    <xdr:to>
      <xdr:col>5</xdr:col>
      <xdr:colOff>0</xdr:colOff>
      <xdr:row>13</xdr:row>
      <xdr:rowOff>72812</xdr:rowOff>
    </xdr:to>
    <mc:AlternateContent xmlns:mc="http://schemas.openxmlformats.org/markup-compatibility/2006" xmlns:tsle="http://schemas.microsoft.com/office/drawing/2012/timeslicer">
      <mc:Choice Requires="tsle">
        <xdr:graphicFrame macro="">
          <xdr:nvGraphicFramePr>
            <xdr:cNvPr id="5" name="Date"/>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253067" y="1376679"/>
              <a:ext cx="6019800" cy="1371600"/>
            </a:xfrm>
            <a:prstGeom prst="rect">
              <a:avLst/>
            </a:prstGeom>
            <a:solidFill>
              <a:prstClr val="white"/>
            </a:solidFill>
            <a:ln w="1">
              <a:solidFill>
                <a:prstClr val="green"/>
              </a:solidFill>
            </a:ln>
          </xdr:spPr>
          <xdr:txBody>
            <a:bodyPr vertOverflow="clip" horzOverflow="clip"/>
            <a:lstStyle/>
            <a:p>
              <a:r>
                <a:rPr lang="en-US" sz="1100"/>
                <a:t>Timeline: Works in Excel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Construction_Cost_Tracker_v1.xlsx.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uthor" refreshedDate="46206.925315740744" createdVersion="6" refreshedVersion="6" minRefreshableVersion="3" recordCount="3">
  <cacheSource type="worksheet">
    <worksheetSource name="tblPurchases" r:id="rId2"/>
  </cacheSource>
  <cacheFields count="9">
    <cacheField name="Date" numFmtId="14">
      <sharedItems containsSemiMixedTypes="0" containsNonDate="0" containsDate="1" containsString="0" minDate="2026-03-07T00:00:00" maxDate="2026-04-08T00:00:00" count="2">
        <d v="2026-03-07T00:00:00"/>
        <d v="2026-04-07T00:00:00"/>
      </sharedItems>
    </cacheField>
    <cacheField name="Item" numFmtId="0">
      <sharedItems/>
    </cacheField>
    <cacheField name="Category" numFmtId="0">
      <sharedItems containsBlank="1" count="4">
        <s v="Pipes"/>
        <s v="Fittings"/>
        <s v="Valves"/>
        <m u="1"/>
      </sharedItems>
    </cacheField>
    <cacheField name="Unit" numFmtId="0">
      <sharedItems/>
    </cacheField>
    <cacheField name="Qty" numFmtId="0">
      <sharedItems containsSemiMixedTypes="0" containsString="0" containsNumber="1" containsInteger="1" minValue="10" maxValue="120"/>
    </cacheField>
    <cacheField name="Unit Price" numFmtId="0">
      <sharedItems containsSemiMixedTypes="0" containsString="0" containsNumber="1" containsInteger="1" minValue="12" maxValue="180"/>
    </cacheField>
    <cacheField name="Total Cost" numFmtId="0">
      <sharedItems containsSemiMixedTypes="0" containsString="0" containsNumber="1" containsInteger="1" minValue="600" maxValue="5040"/>
    </cacheField>
    <cacheField name="Supplier" numFmtId="0">
      <sharedItems containsNonDate="0" containsString="0" containsBlank="1"/>
    </cacheField>
    <cacheField name="Project" numFmtId="0">
      <sharedItems containsNonDate="0" containsString="0" containsBlank="1"/>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
  <r>
    <x v="0"/>
    <s v="PPR Pipe 20mm"/>
    <x v="0"/>
    <s v="m"/>
    <n v="120"/>
    <n v="42"/>
    <n v="5040"/>
    <m/>
    <m/>
  </r>
  <r>
    <x v="0"/>
    <s v="Elbow 20mm"/>
    <x v="1"/>
    <s v="pcs"/>
    <n v="50"/>
    <n v="12"/>
    <n v="600"/>
    <m/>
    <m/>
  </r>
  <r>
    <x v="1"/>
    <s v="Ball Valve"/>
    <x v="2"/>
    <s v="pcs"/>
    <n v="10"/>
    <n v="180"/>
    <n v="1800"/>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4">
  <location ref="A3:B5" firstHeaderRow="1" firstDataRow="1" firstDataCol="1"/>
  <pivotFields count="9">
    <pivotField showAll="0">
      <items count="3">
        <item x="0"/>
        <item x="1"/>
        <item t="default"/>
      </items>
    </pivotField>
    <pivotField showAll="0"/>
    <pivotField axis="axisRow" showAll="0">
      <items count="5">
        <item h="1" x="1"/>
        <item h="1" x="0"/>
        <item x="2"/>
        <item h="1" m="1" x="3"/>
        <item t="default"/>
      </items>
    </pivotField>
    <pivotField showAll="0"/>
    <pivotField showAll="0"/>
    <pivotField showAll="0"/>
    <pivotField dataField="1" showAll="0"/>
    <pivotField showAll="0"/>
    <pivotField showAll="0"/>
  </pivotFields>
  <rowFields count="1">
    <field x="2"/>
  </rowFields>
  <rowItems count="2">
    <i>
      <x v="2"/>
    </i>
    <i t="grand">
      <x/>
    </i>
  </rowItems>
  <colItems count="1">
    <i/>
  </colItems>
  <dataFields count="1">
    <dataField name="Sum of Total Cost" fld="6" baseField="2" baseItem="0"/>
  </dataField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Equal" evalOrder="-1" id="62" name="Date">
      <autoFilter ref="A1">
        <filterColumn colId="0">
          <customFilters>
            <customFilter val="4611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5" name="PivotTable1"/>
  </pivotTables>
  <data>
    <tabular pivotCacheId="1">
      <items count="4">
        <i x="1"/>
        <i x="0"/>
        <i x="2" s="1"/>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rowHeight="234950"/>
</slicers>
</file>

<file path=xl/tables/table1.xml><?xml version="1.0" encoding="utf-8"?>
<table xmlns="http://schemas.openxmlformats.org/spreadsheetml/2006/main" id="2" name="tblPurchases" displayName="tblPurchases" ref="A1:I4" totalsRowShown="0" headerRowDxfId="13" dataDxfId="11" headerRowBorderDxfId="12" tableBorderDxfId="10" totalsRowBorderDxfId="9">
  <autoFilter ref="A1:I4"/>
  <tableColumns count="9">
    <tableColumn id="1" name="Date" dataDxfId="8"/>
    <tableColumn id="2" name="Item" dataDxfId="7"/>
    <tableColumn id="3" name="Category" dataDxfId="6"/>
    <tableColumn id="4" name="Unit" dataDxfId="5"/>
    <tableColumn id="5" name="Qty" dataDxfId="4"/>
    <tableColumn id="6" name="Unit Price" dataDxfId="3"/>
    <tableColumn id="7" name="Total Cost" dataDxfId="2">
      <calculatedColumnFormula>IF(OR(tblPurchases[[#This Row],[Qty]]="",tblPurchases[[#This Row],[Unit Price]]=""),"",tblPurchases[[#This Row],[Qty]]*tblPurchases[[#This Row],[Unit Price]])</calculatedColumnFormula>
    </tableColumn>
    <tableColumn id="8" name="Supplier" dataDxfId="1"/>
    <tableColumn id="9" name="Projec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NativeTimeline_Date" sourceName="Date">
  <pivotTables>
    <pivotTable tabId="5" name="PivotTable1"/>
  </pivotTables>
  <state minimalRefreshVersion="6" lastRefreshVersion="6" pivotCacheId="1" filterType="dateEqual">
    <selection startDate="2026-04-07T00:00:00" endDate="2026-04-07T00:00:00"/>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Date" cache="NativeTimeline_Date" caption="Date" level="3" selectionLevel="3" scrollPosition="2026-03-22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
  <sheetViews>
    <sheetView tabSelected="1" zoomScale="90" zoomScaleNormal="90" workbookViewId="0">
      <selection activeCell="N22" sqref="N22"/>
    </sheetView>
  </sheetViews>
  <sheetFormatPr defaultRowHeight="14.4" x14ac:dyDescent="0.3"/>
  <cols>
    <col min="1" max="1" width="18.21875" customWidth="1"/>
    <col min="2" max="2" width="18.109375" customWidth="1"/>
    <col min="3" max="3" width="24.109375" customWidth="1"/>
    <col min="4" max="4" width="25.33203125" customWidth="1"/>
    <col min="5" max="5" width="20.21875" customWidth="1"/>
  </cols>
  <sheetData>
    <row r="1" spans="1:8" x14ac:dyDescent="0.3">
      <c r="A1" s="18" t="s">
        <v>17</v>
      </c>
      <c r="B1" s="18"/>
      <c r="C1" s="18"/>
      <c r="D1" s="18"/>
      <c r="E1" s="18"/>
      <c r="F1" s="18"/>
      <c r="G1" s="18"/>
      <c r="H1" s="18"/>
    </row>
    <row r="2" spans="1:8" ht="15" thickBot="1" x14ac:dyDescent="0.35">
      <c r="A2" s="18"/>
      <c r="B2" s="18"/>
      <c r="C2" s="18"/>
      <c r="D2" s="18"/>
      <c r="E2" s="18"/>
      <c r="F2" s="18"/>
      <c r="G2" s="18"/>
      <c r="H2" s="18"/>
    </row>
    <row r="3" spans="1:8" ht="19.2" thickTop="1" thickBot="1" x14ac:dyDescent="0.4">
      <c r="B3" s="13" t="s">
        <v>16</v>
      </c>
      <c r="C3" s="16" t="s">
        <v>18</v>
      </c>
      <c r="D3" s="15" t="s">
        <v>19</v>
      </c>
      <c r="E3" s="14" t="s">
        <v>20</v>
      </c>
    </row>
    <row r="4" spans="1:8" ht="19.2" thickTop="1" thickBot="1" x14ac:dyDescent="0.35">
      <c r="B4" s="2"/>
      <c r="C4" s="2"/>
      <c r="D4" s="2"/>
      <c r="E4" s="9"/>
    </row>
    <row r="5" spans="1:8" ht="19.2" thickTop="1" thickBot="1" x14ac:dyDescent="0.35">
      <c r="B5" s="10">
        <f>SUM(tblPurchases[Total Cost])</f>
        <v>7440</v>
      </c>
      <c r="C5" s="2">
        <f>COUNTA(tblPurchases[Item])</f>
        <v>3</v>
      </c>
      <c r="D5" s="2">
        <f>SUM(tblPurchases[Total Cost])/COUNTA(tblPurchases[Item])</f>
        <v>2480</v>
      </c>
      <c r="E5" s="2">
        <f>MAX(tblPurchases[Total Cost])</f>
        <v>5040</v>
      </c>
    </row>
    <row r="6" spans="1:8" ht="19.2" thickTop="1" thickBot="1" x14ac:dyDescent="0.35">
      <c r="B6" s="2"/>
      <c r="C6" s="2"/>
      <c r="D6" s="2"/>
      <c r="E6" s="9"/>
    </row>
    <row r="7" spans="1:8" ht="15" thickTop="1" x14ac:dyDescent="0.3"/>
  </sheetData>
  <mergeCells count="1">
    <mergeCell ref="A1:H2"/>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
  <sheetViews>
    <sheetView workbookViewId="0">
      <selection activeCell="C14" sqref="C14"/>
    </sheetView>
  </sheetViews>
  <sheetFormatPr defaultColWidth="20.77734375" defaultRowHeight="18" x14ac:dyDescent="0.3"/>
  <cols>
    <col min="1" max="16384" width="20.77734375" style="1"/>
  </cols>
  <sheetData>
    <row r="1" spans="1:9" ht="18.600000000000001" thickBot="1" x14ac:dyDescent="0.35">
      <c r="A1" s="3" t="s">
        <v>0</v>
      </c>
      <c r="B1" s="4" t="s">
        <v>1</v>
      </c>
      <c r="C1" s="4" t="s">
        <v>2</v>
      </c>
      <c r="D1" s="4" t="s">
        <v>3</v>
      </c>
      <c r="E1" s="4" t="s">
        <v>4</v>
      </c>
      <c r="F1" s="4" t="s">
        <v>5</v>
      </c>
      <c r="G1" s="4" t="s">
        <v>16</v>
      </c>
      <c r="H1" s="4" t="s">
        <v>6</v>
      </c>
      <c r="I1" s="5" t="s">
        <v>7</v>
      </c>
    </row>
    <row r="2" spans="1:9" ht="19.2" thickTop="1" thickBot="1" x14ac:dyDescent="0.35">
      <c r="A2" s="6">
        <v>46088</v>
      </c>
      <c r="B2" s="7" t="s">
        <v>8</v>
      </c>
      <c r="C2" s="7" t="s">
        <v>9</v>
      </c>
      <c r="D2" s="7" t="s">
        <v>10</v>
      </c>
      <c r="E2" s="7">
        <v>120</v>
      </c>
      <c r="F2" s="7">
        <v>42</v>
      </c>
      <c r="G2" s="2">
        <f>IF(OR(tblPurchases[[#This Row],[Qty]]="",tblPurchases[[#This Row],[Unit Price]]=""),"",tblPurchases[[#This Row],[Qty]]*tblPurchases[[#This Row],[Unit Price]])</f>
        <v>5040</v>
      </c>
      <c r="H2" s="2"/>
      <c r="I2" s="8"/>
    </row>
    <row r="3" spans="1:9" ht="19.2" thickTop="1" thickBot="1" x14ac:dyDescent="0.35">
      <c r="A3" s="6">
        <v>46088</v>
      </c>
      <c r="B3" s="7" t="s">
        <v>11</v>
      </c>
      <c r="C3" s="7" t="s">
        <v>12</v>
      </c>
      <c r="D3" s="7" t="s">
        <v>13</v>
      </c>
      <c r="E3" s="7">
        <v>50</v>
      </c>
      <c r="F3" s="7">
        <v>12</v>
      </c>
      <c r="G3" s="2">
        <f>IF(OR(tblPurchases[[#This Row],[Qty]]="",tblPurchases[[#This Row],[Unit Price]]=""),"",tblPurchases[[#This Row],[Qty]]*tblPurchases[[#This Row],[Unit Price]])</f>
        <v>600</v>
      </c>
      <c r="H3" s="2"/>
      <c r="I3" s="8"/>
    </row>
    <row r="4" spans="1:9" ht="19.2" thickTop="1" thickBot="1" x14ac:dyDescent="0.35">
      <c r="A4" s="6">
        <v>46119</v>
      </c>
      <c r="B4" s="7" t="s">
        <v>14</v>
      </c>
      <c r="C4" s="7" t="s">
        <v>15</v>
      </c>
      <c r="D4" s="7" t="s">
        <v>13</v>
      </c>
      <c r="E4" s="7">
        <v>10</v>
      </c>
      <c r="F4" s="7">
        <v>180</v>
      </c>
      <c r="G4" s="2">
        <f>IF(OR(tblPurchases[[#This Row],[Qty]]="",tblPurchases[[#This Row],[Unit Price]]=""),"",tblPurchases[[#This Row],[Qty]]*tblPurchases[[#This Row],[Unit Price]])</f>
        <v>1800</v>
      </c>
      <c r="H4" s="2"/>
      <c r="I4" s="8"/>
    </row>
    <row r="5" spans="1:9" ht="19.2" thickTop="1" thickBot="1" x14ac:dyDescent="0.35"/>
    <row r="6" spans="1:9" ht="19.2" thickTop="1" thickBot="1" x14ac:dyDescent="0.35">
      <c r="G6" s="2"/>
    </row>
    <row r="7" spans="1:9" ht="18.600000000000001" thickTop="1" x14ac:dyDescent="0.3"/>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C13" sqref="C13"/>
    </sheetView>
  </sheetViews>
  <sheetFormatPr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C13" sqref="C13"/>
    </sheetView>
  </sheetViews>
  <sheetFormatPr defaultRowHeight="14.4" x14ac:dyDescent="0.3"/>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5"/>
  <sheetViews>
    <sheetView workbookViewId="0">
      <selection activeCell="K24" sqref="K24"/>
    </sheetView>
  </sheetViews>
  <sheetFormatPr defaultRowHeight="14.4" x14ac:dyDescent="0.3"/>
  <cols>
    <col min="1" max="1" width="12.5546875" customWidth="1"/>
    <col min="2" max="2" width="15.88671875" customWidth="1"/>
  </cols>
  <sheetData>
    <row r="3" spans="1:2" x14ac:dyDescent="0.3">
      <c r="A3" s="11" t="s">
        <v>21</v>
      </c>
      <c r="B3" t="s">
        <v>23</v>
      </c>
    </row>
    <row r="4" spans="1:2" x14ac:dyDescent="0.3">
      <c r="A4" s="17" t="s">
        <v>15</v>
      </c>
      <c r="B4" s="12">
        <v>1800</v>
      </c>
    </row>
    <row r="5" spans="1:2" x14ac:dyDescent="0.3">
      <c r="A5" s="17" t="s">
        <v>22</v>
      </c>
      <c r="B5" s="12">
        <v>1800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Purchases</vt:lpstr>
      <vt:lpstr>Suppliers</vt:lpstr>
      <vt:lpstr>Settings</vt:lpstr>
      <vt:lpstr>slicer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2026-07-04T17:26:37Z</dcterms:modified>
</cp:coreProperties>
</file>